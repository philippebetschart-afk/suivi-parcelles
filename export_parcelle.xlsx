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ets\suivi-parcelles\"/>
    </mc:Choice>
  </mc:AlternateContent>
  <xr:revisionPtr revIDLastSave="0" documentId="13_ncr:1_{FE56F8F5-92D2-4C22-945D-D5A517A29EDC}" xr6:coauthVersionLast="47" xr6:coauthVersionMax="47" xr10:uidLastSave="{00000000-0000-0000-0000-000000000000}"/>
  <bookViews>
    <workbookView xWindow="-98" yWindow="-98" windowWidth="21795" windowHeight="12975" xr2:uid="{9F25AA31-F835-4A6D-8BCF-51E34A6FC2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9" i="1" l="1"/>
  <c r="W18" i="1"/>
  <c r="W17" i="1"/>
  <c r="W16" i="1"/>
  <c r="W15" i="1"/>
  <c r="W13" i="1"/>
  <c r="W12" i="1"/>
  <c r="W11" i="1"/>
  <c r="W9" i="1"/>
  <c r="W8" i="1"/>
  <c r="W7" i="1"/>
  <c r="W6" i="1"/>
  <c r="W20" i="1" s="1"/>
</calcChain>
</file>

<file path=xl/sharedStrings.xml><?xml version="1.0" encoding="utf-8"?>
<sst xmlns="http://schemas.openxmlformats.org/spreadsheetml/2006/main" count="66" uniqueCount="40">
  <si>
    <t>Reference cadastrales</t>
  </si>
  <si>
    <t>Contenance Cadastre</t>
  </si>
  <si>
    <t>MFV</t>
  </si>
  <si>
    <t>Surf modif</t>
  </si>
  <si>
    <t>Ecart modif</t>
  </si>
  <si>
    <t>Parcelle Num</t>
  </si>
  <si>
    <t>Localisation</t>
  </si>
  <si>
    <t>DP</t>
  </si>
  <si>
    <t>DSF</t>
  </si>
  <si>
    <t>COM</t>
  </si>
  <si>
    <t>PREF</t>
  </si>
  <si>
    <t>SE</t>
  </si>
  <si>
    <t>PLAN</t>
  </si>
  <si>
    <t>SFC</t>
  </si>
  <si>
    <t>Num Lot</t>
  </si>
  <si>
    <t>HA</t>
  </si>
  <si>
    <t>AR</t>
  </si>
  <si>
    <t>CA</t>
  </si>
  <si>
    <t>Pied</t>
  </si>
  <si>
    <t>Rang</t>
  </si>
  <si>
    <t>Surface</t>
  </si>
  <si>
    <t>Côtes de Bourg</t>
  </si>
  <si>
    <t>COM:Pugnac</t>
  </si>
  <si>
    <t>LD:0000 Viaud</t>
  </si>
  <si>
    <t>ZO</t>
  </si>
  <si>
    <t>P</t>
  </si>
  <si>
    <t>Blanc</t>
  </si>
  <si>
    <t>Verger</t>
  </si>
  <si>
    <t>Merlot N</t>
  </si>
  <si>
    <t>Jachère</t>
  </si>
  <si>
    <t>Cab. Sauv. N</t>
  </si>
  <si>
    <t>0</t>
  </si>
  <si>
    <t>58</t>
  </si>
  <si>
    <t>92</t>
  </si>
  <si>
    <t>04</t>
  </si>
  <si>
    <t>Cab. FR N</t>
  </si>
  <si>
    <t>100</t>
  </si>
  <si>
    <t>200</t>
  </si>
  <si>
    <t>08</t>
  </si>
  <si>
    <t>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</si>
</sst>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7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 applyAlignment="1">
      <alignment wrapText="1"/>
    </xf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9" fontId="0" fillId="0" borderId="0" xfId="0" applyNumberFormat="1" applyAlignment="1">
      <alignment horizontal="right"/>
    </xf>
    <xf numFmtId="49" fontId="0" fillId="0" borderId="11" xfId="0" applyNumberFormat="1" applyBorder="1" applyAlignment="1">
      <alignment horizontal="right"/>
    </xf>
    <xf numFmtId="164" fontId="0" fillId="0" borderId="0" xfId="0" applyNumberFormat="1"/>
    <xf numFmtId="3" fontId="0" fillId="0" borderId="10" xfId="0" applyNumberFormat="1" applyBorder="1"/>
    <xf numFmtId="49" fontId="0" fillId="0" borderId="10" xfId="0" applyNumberFormat="1" applyBorder="1" applyAlignment="1">
      <alignment horizontal="right"/>
    </xf>
    <xf numFmtId="0" fontId="0" fillId="0" borderId="9" xfId="0" applyBorder="1"/>
    <xf numFmtId="49" fontId="3" fillId="0" borderId="0" xfId="0" applyNumberFormat="1" applyFont="1" applyAlignment="1">
      <alignment horizontal="right"/>
    </xf>
    <xf numFmtId="49" fontId="3" fillId="0" borderId="11" xfId="0" applyNumberFormat="1" applyFont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7FD5-067E-4F54-8DA0-1C19B85B61EE}">
  <dimension ref="A2:W21"/>
  <sheetViews>
    <sheetView tabSelected="1" workbookViewId="0">
      <selection activeCell="Q4" sqref="Q4"/>
    </sheetView>
  </sheetViews>
  <sheetFormatPr baseColWidth="10" defaultColWidth="11.46484375" defaultRowHeight="14.25" x14ac:dyDescent="0.45"/>
  <cols>
    <col min="1" max="1" width="15.1328125" customWidth="1"/>
    <col min="2" max="2" width="13.19921875" customWidth="1"/>
    <col min="3" max="6" width="4.19921875" customWidth="1"/>
    <col min="7" max="7" width="3.46484375" customWidth="1"/>
    <col min="8" max="8" width="4.19921875" customWidth="1"/>
    <col min="9" max="9" width="3.53125" customWidth="1"/>
    <col min="10" max="10" width="3.796875" customWidth="1"/>
    <col min="11" max="11" width="3.86328125" customWidth="1"/>
    <col min="12" max="12" width="3.796875" customWidth="1"/>
    <col min="13" max="13" width="3.53125" customWidth="1"/>
    <col min="14" max="14" width="4.19921875" customWidth="1"/>
    <col min="15" max="15" width="12.796875" customWidth="1"/>
    <col min="16" max="16" width="4" customWidth="1"/>
    <col min="17" max="17" width="4.86328125" customWidth="1"/>
    <col min="18" max="18" width="4.46484375" customWidth="1"/>
    <col min="19" max="20" width="6.796875" customWidth="1"/>
    <col min="21" max="21" width="1.86328125" customWidth="1"/>
    <col min="22" max="22" width="7.53125" customWidth="1"/>
    <col min="23" max="23" width="11.796875" customWidth="1"/>
  </cols>
  <sheetData>
    <row r="2" spans="1:23" s="1" customFormat="1" ht="26.25" x14ac:dyDescent="0.4">
      <c r="C2" s="2" t="s">
        <v>0</v>
      </c>
      <c r="D2" s="3"/>
      <c r="E2" s="3"/>
      <c r="F2" s="3"/>
      <c r="G2" s="3"/>
      <c r="H2" s="3"/>
      <c r="I2" s="3"/>
      <c r="J2" s="4"/>
      <c r="K2" s="5" t="s">
        <v>1</v>
      </c>
      <c r="L2" s="6"/>
      <c r="M2" s="7"/>
      <c r="N2" s="8" t="s">
        <v>2</v>
      </c>
      <c r="O2" s="9"/>
      <c r="P2" s="10" t="s">
        <v>3</v>
      </c>
      <c r="Q2" s="10"/>
      <c r="R2" s="11"/>
      <c r="S2" s="2" t="s">
        <v>4</v>
      </c>
      <c r="T2" s="4"/>
      <c r="V2" s="12" t="s">
        <v>5</v>
      </c>
    </row>
    <row r="3" spans="1:23" s="13" customFormat="1" ht="11.65" x14ac:dyDescent="0.35">
      <c r="B3" s="13" t="s">
        <v>6</v>
      </c>
      <c r="C3" s="14" t="s">
        <v>7</v>
      </c>
      <c r="D3" s="14" t="s">
        <v>8</v>
      </c>
      <c r="E3" s="15" t="s">
        <v>9</v>
      </c>
      <c r="F3" s="15" t="s">
        <v>10</v>
      </c>
      <c r="G3" s="15" t="s">
        <v>11</v>
      </c>
      <c r="H3" s="15" t="s">
        <v>12</v>
      </c>
      <c r="I3" s="15" t="s">
        <v>13</v>
      </c>
      <c r="J3" s="16" t="s">
        <v>14</v>
      </c>
      <c r="K3" s="14" t="s">
        <v>15</v>
      </c>
      <c r="L3" s="15" t="s">
        <v>16</v>
      </c>
      <c r="M3" s="16" t="s">
        <v>17</v>
      </c>
      <c r="N3" s="17"/>
      <c r="O3" s="18" t="s">
        <v>39</v>
      </c>
      <c r="P3" s="15" t="s">
        <v>15</v>
      </c>
      <c r="Q3" s="15" t="s">
        <v>16</v>
      </c>
      <c r="R3" s="16" t="s">
        <v>17</v>
      </c>
      <c r="S3" s="14" t="s">
        <v>18</v>
      </c>
      <c r="T3" s="16" t="s">
        <v>19</v>
      </c>
      <c r="V3" s="19"/>
      <c r="W3" s="13" t="s">
        <v>20</v>
      </c>
    </row>
    <row r="4" spans="1:23" x14ac:dyDescent="0.45">
      <c r="A4" t="s">
        <v>21</v>
      </c>
      <c r="B4" t="s">
        <v>22</v>
      </c>
      <c r="C4" s="20"/>
      <c r="D4" s="20"/>
      <c r="J4" s="21"/>
      <c r="K4" s="20"/>
      <c r="M4" s="21"/>
      <c r="N4" s="21"/>
      <c r="O4" s="22"/>
      <c r="R4" s="21"/>
      <c r="S4" s="20"/>
      <c r="T4" s="21"/>
      <c r="V4" s="22"/>
    </row>
    <row r="5" spans="1:23" x14ac:dyDescent="0.45">
      <c r="B5" t="s">
        <v>23</v>
      </c>
      <c r="C5" s="20">
        <v>33</v>
      </c>
      <c r="D5" s="20">
        <v>0</v>
      </c>
      <c r="E5">
        <v>431</v>
      </c>
      <c r="G5" t="s">
        <v>24</v>
      </c>
      <c r="H5">
        <v>119</v>
      </c>
      <c r="J5" s="21"/>
      <c r="K5" s="20">
        <v>14</v>
      </c>
      <c r="L5">
        <v>79</v>
      </c>
      <c r="M5" s="21">
        <v>0</v>
      </c>
      <c r="N5" s="21" t="s">
        <v>25</v>
      </c>
      <c r="O5" s="22" t="s">
        <v>26</v>
      </c>
      <c r="P5" s="23">
        <v>0</v>
      </c>
      <c r="Q5" s="23">
        <v>53</v>
      </c>
      <c r="R5" s="24">
        <v>21</v>
      </c>
      <c r="S5" s="20">
        <v>120</v>
      </c>
      <c r="T5" s="21">
        <v>200</v>
      </c>
      <c r="V5" s="22">
        <v>3</v>
      </c>
      <c r="W5" s="25">
        <v>0.28000000000000003</v>
      </c>
    </row>
    <row r="6" spans="1:23" x14ac:dyDescent="0.45">
      <c r="C6" s="20"/>
      <c r="D6" s="20"/>
      <c r="J6" s="21"/>
      <c r="K6" s="20"/>
      <c r="M6" s="21"/>
      <c r="N6" s="21" t="s">
        <v>25</v>
      </c>
      <c r="O6" s="22" t="s">
        <v>27</v>
      </c>
      <c r="P6" s="23">
        <v>0</v>
      </c>
      <c r="Q6" s="23">
        <v>36</v>
      </c>
      <c r="R6" s="24">
        <v>11</v>
      </c>
      <c r="S6" s="20">
        <v>120</v>
      </c>
      <c r="T6" s="21">
        <v>180</v>
      </c>
      <c r="V6" s="22">
        <v>2</v>
      </c>
      <c r="W6" s="25">
        <f>ABS(CONCATENATE(P6,",",Q6,R6))</f>
        <v>0.36109999999999998</v>
      </c>
    </row>
    <row r="7" spans="1:23" x14ac:dyDescent="0.45">
      <c r="C7" s="20"/>
      <c r="D7" s="20"/>
      <c r="J7" s="21"/>
      <c r="K7" s="20"/>
      <c r="M7" s="21"/>
      <c r="N7" s="21" t="s">
        <v>25</v>
      </c>
      <c r="O7" s="22" t="s">
        <v>28</v>
      </c>
      <c r="P7" s="23">
        <v>0</v>
      </c>
      <c r="Q7" s="23">
        <v>80</v>
      </c>
      <c r="R7" s="24">
        <v>67</v>
      </c>
      <c r="S7" s="26">
        <v>120</v>
      </c>
      <c r="T7" s="21">
        <v>200</v>
      </c>
      <c r="V7" s="22">
        <v>9</v>
      </c>
      <c r="W7" s="25">
        <f>ABS(CONCATENATE(P7,",",Q7,R7))</f>
        <v>0.80669999999999997</v>
      </c>
    </row>
    <row r="8" spans="1:23" x14ac:dyDescent="0.45">
      <c r="C8" s="20"/>
      <c r="D8" s="20"/>
      <c r="J8" s="21"/>
      <c r="K8" s="20"/>
      <c r="M8" s="21"/>
      <c r="N8" s="21" t="s">
        <v>25</v>
      </c>
      <c r="O8" s="22" t="s">
        <v>28</v>
      </c>
      <c r="P8" s="23">
        <v>0</v>
      </c>
      <c r="Q8" s="23">
        <v>44</v>
      </c>
      <c r="R8" s="24">
        <v>20</v>
      </c>
      <c r="S8" s="26">
        <v>120</v>
      </c>
      <c r="T8" s="21">
        <v>200</v>
      </c>
      <c r="V8" s="22">
        <v>7</v>
      </c>
      <c r="W8" s="25">
        <f>ABS(CONCATENATE(P8,",",Q8,R8))</f>
        <v>0.442</v>
      </c>
    </row>
    <row r="9" spans="1:23" x14ac:dyDescent="0.45">
      <c r="C9" s="20"/>
      <c r="D9" s="20"/>
      <c r="J9" s="21"/>
      <c r="K9" s="20"/>
      <c r="M9" s="21"/>
      <c r="N9" s="21" t="s">
        <v>25</v>
      </c>
      <c r="O9" s="22" t="s">
        <v>29</v>
      </c>
      <c r="P9" s="23">
        <v>0</v>
      </c>
      <c r="Q9" s="23">
        <v>67</v>
      </c>
      <c r="R9" s="24">
        <v>0</v>
      </c>
      <c r="S9" s="26">
        <v>120</v>
      </c>
      <c r="T9" s="21">
        <v>200</v>
      </c>
      <c r="V9" s="22">
        <v>4</v>
      </c>
      <c r="W9" s="25">
        <f>ABS(CONCATENATE(P9,",",Q9,R9))</f>
        <v>0.67</v>
      </c>
    </row>
    <row r="10" spans="1:23" x14ac:dyDescent="0.45">
      <c r="C10" s="20"/>
      <c r="D10" s="20"/>
      <c r="J10" s="21"/>
      <c r="K10" s="20"/>
      <c r="M10" s="21"/>
      <c r="N10" s="21" t="s">
        <v>25</v>
      </c>
      <c r="O10" s="22" t="s">
        <v>30</v>
      </c>
      <c r="P10" s="23">
        <v>0</v>
      </c>
      <c r="Q10" s="23">
        <v>29</v>
      </c>
      <c r="R10" s="24">
        <v>14</v>
      </c>
      <c r="S10" s="26">
        <v>120</v>
      </c>
      <c r="T10" s="21">
        <v>200</v>
      </c>
      <c r="V10" s="22">
        <v>10</v>
      </c>
      <c r="W10" s="25">
        <v>0.76</v>
      </c>
    </row>
    <row r="11" spans="1:23" x14ac:dyDescent="0.45">
      <c r="C11" s="20"/>
      <c r="D11" s="20"/>
      <c r="J11" s="21"/>
      <c r="K11" s="20"/>
      <c r="M11" s="21"/>
      <c r="N11" s="21" t="s">
        <v>25</v>
      </c>
      <c r="O11" s="22" t="s">
        <v>27</v>
      </c>
      <c r="P11" s="23" t="s">
        <v>31</v>
      </c>
      <c r="Q11" s="23" t="s">
        <v>32</v>
      </c>
      <c r="R11" s="24" t="s">
        <v>33</v>
      </c>
      <c r="S11" s="26">
        <v>120</v>
      </c>
      <c r="T11" s="21">
        <v>200</v>
      </c>
      <c r="V11" s="22">
        <v>5</v>
      </c>
      <c r="W11" s="25">
        <f>ABS(CONCATENATE(P11,",",Q11,R11))</f>
        <v>0.58919999999999995</v>
      </c>
    </row>
    <row r="12" spans="1:23" x14ac:dyDescent="0.45">
      <c r="C12" s="20"/>
      <c r="D12" s="20"/>
      <c r="J12" s="21"/>
      <c r="K12" s="20"/>
      <c r="M12" s="21"/>
      <c r="N12" s="21" t="s">
        <v>25</v>
      </c>
      <c r="O12" s="22" t="s">
        <v>28</v>
      </c>
      <c r="P12" s="23">
        <v>1</v>
      </c>
      <c r="Q12" s="23" t="s">
        <v>34</v>
      </c>
      <c r="R12" s="24">
        <v>0</v>
      </c>
      <c r="S12" s="26">
        <v>120</v>
      </c>
      <c r="T12" s="21">
        <v>200</v>
      </c>
      <c r="V12" s="22">
        <v>6</v>
      </c>
      <c r="W12" s="25">
        <f>ABS(CONCATENATE(P12,",",Q12,R12))</f>
        <v>1.04</v>
      </c>
    </row>
    <row r="13" spans="1:23" x14ac:dyDescent="0.45">
      <c r="C13" s="20"/>
      <c r="D13" s="20"/>
      <c r="J13" s="21"/>
      <c r="K13" s="20"/>
      <c r="M13" s="21"/>
      <c r="N13" s="21" t="s">
        <v>25</v>
      </c>
      <c r="O13" s="22" t="s">
        <v>35</v>
      </c>
      <c r="P13" s="23">
        <v>0</v>
      </c>
      <c r="Q13" s="23">
        <v>82</v>
      </c>
      <c r="R13" s="24">
        <v>69</v>
      </c>
      <c r="S13" s="20">
        <v>100</v>
      </c>
      <c r="T13" s="21">
        <v>200</v>
      </c>
      <c r="V13" s="22">
        <v>8</v>
      </c>
      <c r="W13" s="25">
        <f>ABS(CONCATENATE(P13,",",Q13,R13))</f>
        <v>0.82689999999999997</v>
      </c>
    </row>
    <row r="14" spans="1:23" x14ac:dyDescent="0.45">
      <c r="C14" s="20"/>
      <c r="D14" s="20"/>
      <c r="J14" s="21"/>
      <c r="K14" s="20"/>
      <c r="M14" s="21"/>
      <c r="N14" s="21" t="s">
        <v>25</v>
      </c>
      <c r="O14" s="22" t="s">
        <v>28</v>
      </c>
      <c r="P14" s="23">
        <v>0</v>
      </c>
      <c r="Q14" s="23">
        <v>75</v>
      </c>
      <c r="R14" s="24">
        <v>30</v>
      </c>
      <c r="S14" s="27" t="s">
        <v>36</v>
      </c>
      <c r="T14" s="24" t="s">
        <v>37</v>
      </c>
      <c r="V14" s="22">
        <v>1</v>
      </c>
      <c r="W14" s="25">
        <v>0.55000000000000004</v>
      </c>
    </row>
    <row r="15" spans="1:23" x14ac:dyDescent="0.45">
      <c r="C15" s="20"/>
      <c r="D15" s="20"/>
      <c r="J15" s="21"/>
      <c r="K15" s="20"/>
      <c r="M15" s="21"/>
      <c r="N15" s="21" t="s">
        <v>25</v>
      </c>
      <c r="O15" s="22" t="s">
        <v>29</v>
      </c>
      <c r="P15" s="23">
        <v>1</v>
      </c>
      <c r="Q15" s="23" t="s">
        <v>38</v>
      </c>
      <c r="R15" s="24">
        <v>70</v>
      </c>
      <c r="S15" s="20">
        <v>100</v>
      </c>
      <c r="T15" s="21">
        <v>200</v>
      </c>
      <c r="V15" s="22">
        <v>11</v>
      </c>
      <c r="W15" s="25">
        <f>ABS(CONCATENATE(P15,",",Q15,R15))</f>
        <v>1.087</v>
      </c>
    </row>
    <row r="16" spans="1:23" x14ac:dyDescent="0.45">
      <c r="C16" s="20"/>
      <c r="D16" s="20"/>
      <c r="J16" s="21"/>
      <c r="K16" s="20"/>
      <c r="M16" s="21"/>
      <c r="N16" s="21" t="s">
        <v>25</v>
      </c>
      <c r="O16" s="22" t="s">
        <v>29</v>
      </c>
      <c r="P16" s="23">
        <v>0</v>
      </c>
      <c r="Q16" s="23">
        <v>73</v>
      </c>
      <c r="R16" s="24">
        <v>57</v>
      </c>
      <c r="S16" s="20">
        <v>100</v>
      </c>
      <c r="T16" s="21">
        <v>200</v>
      </c>
      <c r="V16" s="22">
        <v>13</v>
      </c>
      <c r="W16" s="25">
        <f>ABS(CONCATENATE(P16,",",Q16,R16))</f>
        <v>0.73570000000000002</v>
      </c>
    </row>
    <row r="17" spans="3:23" x14ac:dyDescent="0.45">
      <c r="C17" s="20"/>
      <c r="D17" s="20"/>
      <c r="J17" s="21"/>
      <c r="K17" s="20"/>
      <c r="M17" s="21"/>
      <c r="N17" s="21" t="s">
        <v>25</v>
      </c>
      <c r="O17" s="22" t="s">
        <v>29</v>
      </c>
      <c r="P17" s="23">
        <v>1</v>
      </c>
      <c r="Q17" s="23">
        <v>50</v>
      </c>
      <c r="R17" s="24">
        <v>0</v>
      </c>
      <c r="S17" s="20">
        <v>100</v>
      </c>
      <c r="T17" s="21">
        <v>200</v>
      </c>
      <c r="V17" s="22">
        <v>13</v>
      </c>
      <c r="W17" s="25">
        <f>ABS(CONCATENATE(P17,",",Q17,R17))</f>
        <v>1.5</v>
      </c>
    </row>
    <row r="18" spans="3:23" x14ac:dyDescent="0.45">
      <c r="C18" s="20"/>
      <c r="D18" s="20"/>
      <c r="J18" s="21"/>
      <c r="K18" s="20"/>
      <c r="M18" s="21"/>
      <c r="N18" s="21" t="s">
        <v>25</v>
      </c>
      <c r="O18" s="22" t="s">
        <v>29</v>
      </c>
      <c r="P18" s="23">
        <v>0</v>
      </c>
      <c r="Q18" s="23">
        <v>73</v>
      </c>
      <c r="R18" s="24">
        <v>57</v>
      </c>
      <c r="S18" s="20">
        <v>100</v>
      </c>
      <c r="T18" s="21">
        <v>200</v>
      </c>
      <c r="V18" s="22">
        <v>12</v>
      </c>
      <c r="W18" s="25">
        <f>ABS(CONCATENATE(P18,",",Q18,R18))</f>
        <v>0.73570000000000002</v>
      </c>
    </row>
    <row r="19" spans="3:23" x14ac:dyDescent="0.45">
      <c r="C19" s="20"/>
      <c r="D19" s="20"/>
      <c r="J19" s="21"/>
      <c r="K19" s="20"/>
      <c r="M19" s="21"/>
      <c r="N19" s="21" t="s">
        <v>25</v>
      </c>
      <c r="O19" s="22" t="s">
        <v>29</v>
      </c>
      <c r="P19" s="23">
        <v>0</v>
      </c>
      <c r="Q19" s="23">
        <v>73</v>
      </c>
      <c r="R19" s="24">
        <v>57</v>
      </c>
      <c r="S19" s="20">
        <v>100</v>
      </c>
      <c r="T19" s="21">
        <v>200</v>
      </c>
      <c r="V19" s="28">
        <v>12</v>
      </c>
      <c r="W19" s="25">
        <f>ABS(CONCATENATE(P19,",",Q19,R19))</f>
        <v>0.73570000000000002</v>
      </c>
    </row>
    <row r="20" spans="3:23" x14ac:dyDescent="0.45">
      <c r="C20" s="20"/>
      <c r="D20" s="20"/>
      <c r="J20" s="21"/>
      <c r="K20" s="20"/>
      <c r="M20" s="21"/>
      <c r="N20" s="21"/>
      <c r="O20" s="22"/>
      <c r="P20" s="29">
        <v>11</v>
      </c>
      <c r="Q20" s="29">
        <v>57</v>
      </c>
      <c r="R20" s="30">
        <v>76</v>
      </c>
      <c r="S20" s="20"/>
      <c r="T20" s="21"/>
      <c r="W20" s="25">
        <f>SUM(W5:W19)</f>
        <v>11.12</v>
      </c>
    </row>
    <row r="21" spans="3:23" x14ac:dyDescent="0.45">
      <c r="C21" s="31"/>
      <c r="D21" s="31"/>
      <c r="E21" s="32"/>
      <c r="F21" s="32"/>
      <c r="G21" s="32"/>
      <c r="H21" s="32"/>
      <c r="I21" s="32"/>
      <c r="J21" s="33"/>
      <c r="K21" s="31"/>
      <c r="L21" s="32"/>
      <c r="M21" s="33"/>
      <c r="N21" s="33"/>
      <c r="O21" s="28"/>
      <c r="P21" s="32"/>
      <c r="Q21" s="32"/>
      <c r="R21" s="33"/>
      <c r="S21" s="31"/>
      <c r="T21" s="33"/>
    </row>
  </sheetData>
  <mergeCells count="3">
    <mergeCell ref="C2:J2"/>
    <mergeCell ref="K2:M2"/>
    <mergeCell ref="S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Betschart</dc:creator>
  <cp:lastModifiedBy>Philippe Betschart</cp:lastModifiedBy>
  <dcterms:created xsi:type="dcterms:W3CDTF">2026-09-30T14:10:30Z</dcterms:created>
  <dcterms:modified xsi:type="dcterms:W3CDTF">2026-09-30T14:11:33Z</dcterms:modified>
</cp:coreProperties>
</file>